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Resear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<sst xmlns="http://schemas.openxmlformats.org/spreadsheetml/2006/main" count="50" uniqueCount="48">
  <si>
    <t xml:space="preserve">Product Research &amp; Platform Profitability Comparison — Sample Project</t>
  </si>
  <si>
    <t xml:space="preserve">Demo file for Walmart Marketplace vs TikTok Shop sourcing decisions — not real client data. Fee rates reflect published 2026 referral fee schedules (Walmart Marketplace: most general categories 15%; TikTok Shop US: standard rate raised to 8% for most non-food categories as of Aug 4, 2026). Yellow cells = inputs to fill per product.</t>
  </si>
  <si>
    <t xml:space="preserve">Legend:</t>
  </si>
  <si>
    <t xml:space="preserve">Input cell</t>
  </si>
  <si>
    <t xml:space="preserve">Margin &gt;= 30% (strong)</t>
  </si>
  <si>
    <t xml:space="preserve">Margin &lt; 15% (weak)</t>
  </si>
  <si>
    <t xml:space="preserve">Product Info</t>
  </si>
  <si>
    <t xml:space="preserve">Sourcing</t>
  </si>
  <si>
    <t xml:space="preserve">Landed Cost</t>
  </si>
  <si>
    <t xml:space="preserve">Walmart Marketplace (15% referral, most categories)</t>
  </si>
  <si>
    <t xml:space="preserve">TikTok Shop (8% referral, standard US rate)</t>
  </si>
  <si>
    <t xml:space="preserve">Demand</t>
  </si>
  <si>
    <t xml:space="preserve">Verdict</t>
  </si>
  <si>
    <t xml:space="preserve">Product</t>
  </si>
  <si>
    <t xml:space="preserve">Supplier (Platform)</t>
  </si>
  <si>
    <t xml:space="preserve">Unit Cost ($)</t>
  </si>
  <si>
    <t xml:space="preserve">Shipping/Unit ($)</t>
  </si>
  <si>
    <t xml:space="preserve">Landed Cost ($)</t>
  </si>
  <si>
    <t xml:space="preserve">WM Price ($)</t>
  </si>
  <si>
    <t xml:space="preserve">WM Fee %</t>
  </si>
  <si>
    <t xml:space="preserve">WM Fee ($)</t>
  </si>
  <si>
    <t xml:space="preserve">WM Net Profit ($)</t>
  </si>
  <si>
    <t xml:space="preserve">WM Margin %</t>
  </si>
  <si>
    <t xml:space="preserve">TT Price ($)</t>
  </si>
  <si>
    <t xml:space="preserve">TT Fee %</t>
  </si>
  <si>
    <t xml:space="preserve">TT Fee ($)</t>
  </si>
  <si>
    <t xml:space="preserve">TT Net Profit ($)</t>
  </si>
  <si>
    <t xml:space="preserve">TT Margin %</t>
  </si>
  <si>
    <t xml:space="preserve">Est. Monthly Demand</t>
  </si>
  <si>
    <t xml:space="preserve">Demand Score (1-5)</t>
  </si>
  <si>
    <t xml:space="preserve">Recommended Platform</t>
  </si>
  <si>
    <t xml:space="preserve">Insulated Water Bottle 32oz</t>
  </si>
  <si>
    <t xml:space="preserve">Alibaba - Verified Supplier</t>
  </si>
  <si>
    <t xml:space="preserve">Silicone Phone Grip Stand</t>
  </si>
  <si>
    <t xml:space="preserve">1688.com Wholesale</t>
  </si>
  <si>
    <t xml:space="preserve">LED Desk Organizer Lamp</t>
  </si>
  <si>
    <t xml:space="preserve">Alibaba - Trade Assurance</t>
  </si>
  <si>
    <t xml:space="preserve">Reusable Produce Bag Set</t>
  </si>
  <si>
    <t xml:space="preserve">Magnetic Cable Organizer</t>
  </si>
  <si>
    <t xml:space="preserve">Compact Travel Pill Case</t>
  </si>
  <si>
    <t xml:space="preserve">Alibaba - Gold Supplier</t>
  </si>
  <si>
    <t xml:space="preserve">Summary</t>
  </si>
  <si>
    <t xml:space="preserve">Avg. Walmart Margin %</t>
  </si>
  <si>
    <t xml:space="preserve">Avg. TikTok Shop Margin %</t>
  </si>
  <si>
    <t xml:space="preserve">Best Product (highest Walmart margin)</t>
  </si>
  <si>
    <t xml:space="preserve">Best Product (highest TikTok Shop margin)</t>
  </si>
  <si>
    <t xml:space="preserve">Total Est. Monthly Units (all products)</t>
  </si>
  <si>
    <t xml:space="preserve">Note: Walmart referral fee shown at 15%, the standard rate for most general-merchandise categories (Home, Sporting Goods, Toys, Beauty) per Walmart Marketplace's published 2026 fee schedule — actual rate depends on assigned contract category and is visible on the Seller Center Statements page. TikTok Shop referral fee shown at 8%, the standard US rate for most non-food categories following TikTok's Aug 4, 2026 rate change — jewelry and select categories differ. Always confirm current rates in each platform's Seller Center before pricing.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</si>
</sst>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0071CE"/>
        <bgColor rgb="FF008080"/>
      </patternFill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1C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 t="s">
        <v>2</v>
      </c>
      <c r="B3" s="4" t="s">
        <v>3</v>
      </c>
      <c r="D3" s="5" t="s">
        <v>4</v>
      </c>
      <c r="G3" s="6" t="s">
        <v>5</v>
      </c>
    </row>
    <row r="5" customFormat="false" ht="18" hidden="false" customHeight="true" outlineLevel="0" collapsed="false">
      <c r="A5" s="7" t="s">
        <v>6</v>
      </c>
      <c r="B5" s="7"/>
      <c r="C5" s="8" t="s">
        <v>7</v>
      </c>
      <c r="D5" s="8"/>
      <c r="E5" s="7" t="s">
        <v>8</v>
      </c>
      <c r="F5" s="9" t="s">
        <v>9</v>
      </c>
      <c r="G5" s="9"/>
      <c r="H5" s="9"/>
      <c r="I5" s="9"/>
      <c r="J5" s="9"/>
      <c r="K5" s="10" t="s">
        <v>10</v>
      </c>
      <c r="L5" s="10"/>
      <c r="M5" s="10"/>
      <c r="N5" s="10"/>
      <c r="O5" s="10"/>
      <c r="P5" s="8" t="s">
        <v>11</v>
      </c>
      <c r="Q5" s="8"/>
      <c r="R5" s="7" t="s">
        <v>12</v>
      </c>
    </row>
    <row r="6" customFormat="false" ht="31.5" hidden="false" customHeight="true" outlineLevel="0" collapsed="false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2" t="s">
        <v>18</v>
      </c>
      <c r="G6" s="12" t="s">
        <v>19</v>
      </c>
      <c r="H6" s="12" t="s">
        <v>20</v>
      </c>
      <c r="I6" s="12" t="s">
        <v>21</v>
      </c>
      <c r="J6" s="12" t="s">
        <v>22</v>
      </c>
      <c r="K6" s="13" t="s">
        <v>23</v>
      </c>
      <c r="L6" s="13" t="s">
        <v>24</v>
      </c>
      <c r="M6" s="13" t="s">
        <v>25</v>
      </c>
      <c r="N6" s="13" t="s">
        <v>26</v>
      </c>
      <c r="O6" s="13" t="s">
        <v>27</v>
      </c>
      <c r="P6" s="11" t="s">
        <v>28</v>
      </c>
      <c r="Q6" s="11" t="s">
        <v>29</v>
      </c>
      <c r="R6" s="11" t="s">
        <v>30</v>
      </c>
    </row>
    <row r="7" customFormat="false" ht="15" hidden="false" customHeight="false" outlineLevel="0" collapsed="false">
      <c r="A7" s="14" t="s">
        <v>31</v>
      </c>
      <c r="B7" s="14" t="s">
        <v>32</v>
      </c>
      <c r="C7" s="15" t="n">
        <v>4.2</v>
      </c>
      <c r="D7" s="15" t="n">
        <v>1.1</v>
      </c>
      <c r="E7" s="16" t="n">
        <f aca="false">C7+D7</f>
        <v>5.3</v>
      </c>
      <c r="F7" s="15" t="n">
        <v>24.99</v>
      </c>
      <c r="G7" s="17" t="n">
        <v>0.15</v>
      </c>
      <c r="H7" s="16" t="n">
        <f aca="false">F7*G7</f>
        <v>3.7485</v>
      </c>
      <c r="I7" s="16" t="n">
        <f aca="false">F7-$E7-H7</f>
        <v>15.9415</v>
      </c>
      <c r="J7" s="18" t="n">
        <f aca="false">I7/F7</f>
        <v>0.637915166066427</v>
      </c>
      <c r="K7" s="15" t="n">
        <v>22.99</v>
      </c>
      <c r="L7" s="17" t="n">
        <v>0.08</v>
      </c>
      <c r="M7" s="16" t="n">
        <f aca="false">K7*L7</f>
        <v>1.8392</v>
      </c>
      <c r="N7" s="16" t="n">
        <f aca="false">K7-$E7-M7</f>
        <v>15.8508</v>
      </c>
      <c r="O7" s="18" t="n">
        <f aca="false">N7/K7</f>
        <v>0.68946498477599</v>
      </c>
      <c r="P7" s="19" t="n">
        <v>850</v>
      </c>
      <c r="Q7" s="19" t="n">
        <v>5</v>
      </c>
      <c r="R7" s="20" t="str">
        <f aca="false">IF(J7&gt;O7,"Walmart","TikTok Shop")</f>
        <v>TikTok Shop</v>
      </c>
    </row>
    <row r="8" customFormat="false" ht="15" hidden="false" customHeight="false" outlineLevel="0" collapsed="false">
      <c r="A8" s="14" t="s">
        <v>33</v>
      </c>
      <c r="B8" s="14" t="s">
        <v>34</v>
      </c>
      <c r="C8" s="15" t="n">
        <v>0.65</v>
      </c>
      <c r="D8" s="15" t="n">
        <v>0.35</v>
      </c>
      <c r="E8" s="16" t="n">
        <f aca="false">C8+D8</f>
        <v>1</v>
      </c>
      <c r="F8" s="15" t="n">
        <v>8.99</v>
      </c>
      <c r="G8" s="17" t="n">
        <v>0.15</v>
      </c>
      <c r="H8" s="16" t="n">
        <f aca="false">F8*G8</f>
        <v>1.3485</v>
      </c>
      <c r="I8" s="16" t="n">
        <f aca="false">F8-$E8-H8</f>
        <v>6.6415</v>
      </c>
      <c r="J8" s="18" t="n">
        <f aca="false">I8/F8</f>
        <v>0.738765294771969</v>
      </c>
      <c r="K8" s="15" t="n">
        <v>7.99</v>
      </c>
      <c r="L8" s="17" t="n">
        <v>0.08</v>
      </c>
      <c r="M8" s="16" t="n">
        <f aca="false">K8*L8</f>
        <v>0.6392</v>
      </c>
      <c r="N8" s="16" t="n">
        <f aca="false">K8-$E8-M8</f>
        <v>6.3508</v>
      </c>
      <c r="O8" s="18" t="n">
        <f aca="false">N8/K8</f>
        <v>0.794843554443054</v>
      </c>
      <c r="P8" s="19" t="n">
        <v>1200</v>
      </c>
      <c r="Q8" s="19" t="n">
        <v>4</v>
      </c>
      <c r="R8" s="20" t="str">
        <f aca="false">IF(J8&gt;O8,"Walmart","TikTok Shop")</f>
        <v>TikTok Shop</v>
      </c>
    </row>
    <row r="9" customFormat="false" ht="15" hidden="false" customHeight="false" outlineLevel="0" collapsed="false">
      <c r="A9" s="14" t="s">
        <v>35</v>
      </c>
      <c r="B9" s="14" t="s">
        <v>36</v>
      </c>
      <c r="C9" s="15" t="n">
        <v>6.8</v>
      </c>
      <c r="D9" s="15" t="n">
        <v>2.2</v>
      </c>
      <c r="E9" s="16" t="n">
        <f aca="false">C9+D9</f>
        <v>9</v>
      </c>
      <c r="F9" s="15" t="n">
        <v>32.99</v>
      </c>
      <c r="G9" s="17" t="n">
        <v>0.15</v>
      </c>
      <c r="H9" s="16" t="n">
        <f aca="false">F9*G9</f>
        <v>4.9485</v>
      </c>
      <c r="I9" s="16" t="n">
        <f aca="false">F9-$E9-H9</f>
        <v>19.0415</v>
      </c>
      <c r="J9" s="18" t="n">
        <f aca="false">I9/F9</f>
        <v>0.57719005759321</v>
      </c>
      <c r="K9" s="15" t="n">
        <v>29.99</v>
      </c>
      <c r="L9" s="17" t="n">
        <v>0.08</v>
      </c>
      <c r="M9" s="16" t="n">
        <f aca="false">K9*L9</f>
        <v>2.3992</v>
      </c>
      <c r="N9" s="16" t="n">
        <f aca="false">K9-$E9-M9</f>
        <v>18.5908</v>
      </c>
      <c r="O9" s="18" t="n">
        <f aca="false">N9/K9</f>
        <v>0.619899966655552</v>
      </c>
      <c r="P9" s="19" t="n">
        <v>320</v>
      </c>
      <c r="Q9" s="19" t="n">
        <v>3</v>
      </c>
      <c r="R9" s="20" t="str">
        <f aca="false">IF(J9&gt;O9,"Walmart","TikTok Shop")</f>
        <v>TikTok Shop</v>
      </c>
    </row>
    <row r="10" customFormat="false" ht="15" hidden="false" customHeight="false" outlineLevel="0" collapsed="false">
      <c r="A10" s="14" t="s">
        <v>37</v>
      </c>
      <c r="B10" s="14" t="s">
        <v>32</v>
      </c>
      <c r="C10" s="15" t="n">
        <v>1.9</v>
      </c>
      <c r="D10" s="15" t="n">
        <v>0.8</v>
      </c>
      <c r="E10" s="16" t="n">
        <f aca="false">C10+D10</f>
        <v>2.7</v>
      </c>
      <c r="F10" s="15" t="n">
        <v>14.99</v>
      </c>
      <c r="G10" s="17" t="n">
        <v>0.15</v>
      </c>
      <c r="H10" s="16" t="n">
        <f aca="false">F10*G10</f>
        <v>2.2485</v>
      </c>
      <c r="I10" s="16" t="n">
        <f aca="false">F10-$E10-H10</f>
        <v>10.0415</v>
      </c>
      <c r="J10" s="18" t="n">
        <f aca="false">I10/F10</f>
        <v>0.669879919946631</v>
      </c>
      <c r="K10" s="15" t="n">
        <v>13.99</v>
      </c>
      <c r="L10" s="17" t="n">
        <v>0.08</v>
      </c>
      <c r="M10" s="16" t="n">
        <f aca="false">K10*L10</f>
        <v>1.1192</v>
      </c>
      <c r="N10" s="16" t="n">
        <f aca="false">K10-$E10-M10</f>
        <v>10.1708</v>
      </c>
      <c r="O10" s="18" t="n">
        <f aca="false">N10/K10</f>
        <v>0.727005003573981</v>
      </c>
      <c r="P10" s="19" t="n">
        <v>540</v>
      </c>
      <c r="Q10" s="19" t="n">
        <v>4</v>
      </c>
      <c r="R10" s="20" t="str">
        <f aca="false">IF(J10&gt;O10,"Walmart","TikTok Shop")</f>
        <v>TikTok Shop</v>
      </c>
    </row>
    <row r="11" customFormat="false" ht="15" hidden="false" customHeight="false" outlineLevel="0" collapsed="false">
      <c r="A11" s="14" t="s">
        <v>38</v>
      </c>
      <c r="B11" s="14" t="s">
        <v>34</v>
      </c>
      <c r="C11" s="15" t="n">
        <v>0.9</v>
      </c>
      <c r="D11" s="15" t="n">
        <v>0.4</v>
      </c>
      <c r="E11" s="16" t="n">
        <f aca="false">C11+D11</f>
        <v>1.3</v>
      </c>
      <c r="F11" s="15" t="n">
        <v>11.99</v>
      </c>
      <c r="G11" s="17" t="n">
        <v>0.15</v>
      </c>
      <c r="H11" s="16" t="n">
        <f aca="false">F11*G11</f>
        <v>1.7985</v>
      </c>
      <c r="I11" s="16" t="n">
        <f aca="false">F11-$E11-H11</f>
        <v>8.8915</v>
      </c>
      <c r="J11" s="18" t="n">
        <f aca="false">I11/F11</f>
        <v>0.741576313594662</v>
      </c>
      <c r="K11" s="15" t="n">
        <v>10.99</v>
      </c>
      <c r="L11" s="17" t="n">
        <v>0.08</v>
      </c>
      <c r="M11" s="16" t="n">
        <f aca="false">K11*L11</f>
        <v>0.8792</v>
      </c>
      <c r="N11" s="16" t="n">
        <f aca="false">K11-$E11-M11</f>
        <v>8.8108</v>
      </c>
      <c r="O11" s="18" t="n">
        <f aca="false">N11/K11</f>
        <v>0.801710646041856</v>
      </c>
      <c r="P11" s="19" t="n">
        <v>970</v>
      </c>
      <c r="Q11" s="19" t="n">
        <v>5</v>
      </c>
      <c r="R11" s="20" t="str">
        <f aca="false">IF(J11&gt;O11,"Walmart","TikTok Shop")</f>
        <v>TikTok Shop</v>
      </c>
    </row>
    <row r="12" customFormat="false" ht="15" hidden="false" customHeight="false" outlineLevel="0" collapsed="false">
      <c r="A12" s="14" t="s">
        <v>39</v>
      </c>
      <c r="B12" s="14" t="s">
        <v>40</v>
      </c>
      <c r="C12" s="15" t="n">
        <v>1.1</v>
      </c>
      <c r="D12" s="15" t="n">
        <v>0.5</v>
      </c>
      <c r="E12" s="16" t="n">
        <f aca="false">C12+D12</f>
        <v>1.6</v>
      </c>
      <c r="F12" s="15" t="n">
        <v>9.99</v>
      </c>
      <c r="G12" s="17" t="n">
        <v>0.15</v>
      </c>
      <c r="H12" s="16" t="n">
        <f aca="false">F12*G12</f>
        <v>1.4985</v>
      </c>
      <c r="I12" s="16" t="n">
        <f aca="false">F12-$E12-H12</f>
        <v>6.8915</v>
      </c>
      <c r="J12" s="18" t="n">
        <f aca="false">I12/F12</f>
        <v>0.68983983983984</v>
      </c>
      <c r="K12" s="15" t="n">
        <v>8.99</v>
      </c>
      <c r="L12" s="17" t="n">
        <v>0.08</v>
      </c>
      <c r="M12" s="16" t="n">
        <f aca="false">K12*L12</f>
        <v>0.7192</v>
      </c>
      <c r="N12" s="16" t="n">
        <f aca="false">K12-$E12-M12</f>
        <v>6.6708</v>
      </c>
      <c r="O12" s="18" t="n">
        <f aca="false">N12/K12</f>
        <v>0.74202447163515</v>
      </c>
      <c r="P12" s="19" t="n">
        <v>210</v>
      </c>
      <c r="Q12" s="19" t="n">
        <v>2</v>
      </c>
      <c r="R12" s="20" t="str">
        <f aca="false">IF(J12&gt;O12,"Walmart","TikTok Shop")</f>
        <v>TikTok Shop</v>
      </c>
    </row>
    <row r="14" customFormat="false" ht="15" hidden="false" customHeight="false" outlineLevel="0" collapsed="false">
      <c r="A14" s="21" t="s">
        <v>41</v>
      </c>
    </row>
    <row r="15" customFormat="false" ht="15" hidden="false" customHeight="false" outlineLevel="0" collapsed="false">
      <c r="A15" s="3" t="s">
        <v>42</v>
      </c>
      <c r="B15" s="22" t="n">
        <f aca="false">AVERAGE(J7:J12)</f>
        <v>0.675861098635456</v>
      </c>
    </row>
    <row r="16" customFormat="false" ht="15" hidden="false" customHeight="false" outlineLevel="0" collapsed="false">
      <c r="A16" s="3" t="s">
        <v>43</v>
      </c>
      <c r="B16" s="22" t="n">
        <f aca="false">AVERAGE(O7:O12)</f>
        <v>0.729158104520931</v>
      </c>
    </row>
    <row r="17" customFormat="false" ht="15" hidden="false" customHeight="false" outlineLevel="0" collapsed="false">
      <c r="A17" s="3" t="s">
        <v>44</v>
      </c>
      <c r="B17" s="23" t="str">
        <f aca="false">INDEX(A7:A12,MATCH(MAX(J7:J12),J7:J12,0))</f>
        <v>Magnetic Cable Organizer</v>
      </c>
    </row>
    <row r="18" customFormat="false" ht="15" hidden="false" customHeight="false" outlineLevel="0" collapsed="false">
      <c r="A18" s="3" t="s">
        <v>45</v>
      </c>
      <c r="B18" s="23" t="str">
        <f aca="false">INDEX(A7:A12,MATCH(MAX(O7:O12),O7:O12,0))</f>
        <v>Magnetic Cable Organizer</v>
      </c>
    </row>
    <row r="19" customFormat="false" ht="15" hidden="false" customHeight="false" outlineLevel="0" collapsed="false">
      <c r="A19" s="3" t="s">
        <v>46</v>
      </c>
      <c r="B19" s="23" t="n">
        <f aca="false">SUM(P7:P12)</f>
        <v>4090</v>
      </c>
    </row>
    <row r="21" customFormat="false" ht="39.75" hidden="false" customHeight="true" outlineLevel="0" collapsed="false">
      <c r="A21" s="24" t="s">
        <v>47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7">
    <mergeCell ref="A1:S1"/>
    <mergeCell ref="A2:S2"/>
    <mergeCell ref="C5:D5"/>
    <mergeCell ref="F5:J5"/>
    <mergeCell ref="K5:O5"/>
    <mergeCell ref="P5:Q5"/>
    <mergeCell ref="A21:R21"/>
  </mergeCells>
  <conditionalFormatting sqref="J7:J12">
    <cfRule type="cellIs" priority="2" operator="greaterThanOrEqual" aboveAverage="0" equalAverage="0" bottom="0" percent="0" rank="0" text="" dxfId="0">
      <formula>0.3</formula>
    </cfRule>
    <cfRule type="cellIs" priority="3" operator="lessThan" aboveAverage="0" equalAverage="0" bottom="0" percent="0" rank="0" text="" dxfId="1">
      <formula>0.15</formula>
    </cfRule>
  </conditionalFormatting>
  <conditionalFormatting sqref="O7:O12">
    <cfRule type="cellIs" priority="4" operator="greaterThanOrEqual" aboveAverage="0" equalAverage="0" bottom="0" percent="0" rank="0" text="" dxfId="0">
      <formula>0.3</formula>
    </cfRule>
    <cfRule type="cellIs" priority="5" operator="lessThan" aboveAverage="0" equalAverage="0" bottom="0" percent="0" rank="0" text="" dxfId="1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2026-08-30T18:04:28Z</dcterms:created>
  <dc:creator>openpyxl</dc:creator>
  <dc:description/>
  <dc:language>en-US</dc:language>
  <cp:lastModifiedBy/>
  <dcterms:modified xsi:type="dcterms:W3CDTF">2026-08-30T18:04:28Z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